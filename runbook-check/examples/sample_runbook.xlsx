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改版履歴" sheetId="1" state="visible" r:id="rId3"/>
    <sheet name="パラメータ" sheetId="2" state="visible" r:id="rId4"/>
    <sheet name="STEP1" sheetId="3" state="visible" r:id="rId5"/>
    <sheet name="STEP2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<sst xmlns="http://schemas.openxmlformats.org/spreadsheetml/2006/main" count="50" uniqueCount="45">
  <si>
    <t xml:space="preserve">版数</t>
  </si>
  <si>
    <t xml:space="preserve">日付</t>
  </si>
  <si>
    <t xml:space="preserve">変更内容</t>
  </si>
  <si>
    <t xml:space="preserve">担当</t>
  </si>
  <si>
    <t xml:space="preserve">v1.0</t>
  </si>
  <si>
    <t xml:space="preserve">2026-03-01</t>
  </si>
  <si>
    <t xml:space="preserve">初版</t>
  </si>
  <si>
    <t xml:space="preserve">A</t>
  </si>
  <si>
    <t xml:space="preserve">v1.1</t>
  </si>
  <si>
    <t xml:space="preserve">2026-04-10</t>
  </si>
  <si>
    <r>
      <rPr>
        <sz val="11"/>
        <color theme="1"/>
        <rFont val="Calibri"/>
        <family val="2"/>
        <charset val="1"/>
      </rPr>
      <t xml:space="preserve">IF</t>
    </r>
    <r>
      <rPr>
        <sz val="11"/>
        <color theme="1"/>
        <rFont val="Noto Sans CJK SC"/>
        <family val="2"/>
      </rPr>
      <t xml:space="preserve">設定追加</t>
    </r>
  </si>
  <si>
    <t xml:space="preserve">B</t>
  </si>
  <si>
    <t xml:space="preserve">パラメータ名</t>
  </si>
  <si>
    <t xml:space="preserve">値</t>
  </si>
  <si>
    <t xml:space="preserve">型</t>
  </si>
  <si>
    <t xml:space="preserve">許容範囲</t>
  </si>
  <si>
    <t xml:space="preserve">ホスト名</t>
  </si>
  <si>
    <t xml:space="preserve">GTE-01</t>
  </si>
  <si>
    <t xml:space="preserve">hostname</t>
  </si>
  <si>
    <t xml:space="preserve">管理IP</t>
  </si>
  <si>
    <t xml:space="preserve">192.0.2.10</t>
  </si>
  <si>
    <t xml:space="preserve">ip</t>
  </si>
  <si>
    <t xml:space="preserve">192.0.2.0/24</t>
  </si>
  <si>
    <t xml:space="preserve">サブネット</t>
  </si>
  <si>
    <t xml:space="preserve">255.255.255.0</t>
  </si>
  <si>
    <t xml:space="preserve">mask</t>
  </si>
  <si>
    <t xml:space="preserve">VLAN-ID</t>
  </si>
  <si>
    <t xml:space="preserve">vlan</t>
  </si>
  <si>
    <t xml:space="preserve">1-4094</t>
  </si>
  <si>
    <t xml:space="preserve">インタフェース</t>
  </si>
  <si>
    <t xml:space="preserve">ge-0/0/3</t>
  </si>
  <si>
    <t xml:space="preserve">interface</t>
  </si>
  <si>
    <t xml:space="preserve">対向IP</t>
  </si>
  <si>
    <t xml:space="preserve">198.51.100.5</t>
  </si>
  <si>
    <t xml:space="preserve">説明</t>
  </si>
  <si>
    <t xml:space="preserve">text</t>
  </si>
  <si>
    <t xml:space="preserve">No</t>
  </si>
  <si>
    <t xml:space="preserve">作業内容</t>
  </si>
  <si>
    <t xml:space="preserve">投入コマンド</t>
  </si>
  <si>
    <t xml:space="preserve">ホスト名設定</t>
  </si>
  <si>
    <r>
      <rPr>
        <sz val="11"/>
        <color theme="1"/>
        <rFont val="Calibri"/>
        <family val="2"/>
        <charset val="1"/>
      </rPr>
      <t xml:space="preserve">IF/VLAN</t>
    </r>
    <r>
      <rPr>
        <sz val="11"/>
        <color theme="1"/>
        <rFont val="Noto Sans CJK SC"/>
        <family val="2"/>
      </rPr>
      <t xml:space="preserve">設定</t>
    </r>
  </si>
  <si>
    <r>
      <rPr>
        <sz val="11"/>
        <color theme="1"/>
        <rFont val="Calibri"/>
        <family val="2"/>
        <charset val="1"/>
      </rPr>
      <t xml:space="preserve">VLAN</t>
    </r>
    <r>
      <rPr>
        <sz val="11"/>
        <color theme="1"/>
        <rFont val="Noto Sans CJK SC"/>
        <family val="2"/>
      </rPr>
      <t xml:space="preserve">誤参照例</t>
    </r>
  </si>
  <si>
    <t xml:space="preserve">説明設定</t>
  </si>
  <si>
    <t xml:space="preserve">前手順確認</t>
  </si>
  <si>
    <t xml:space="preserve">削除手順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</si>
</sst>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  <charset val="1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true" outlineLevel="0" collapsed="false">
      <c r="A2" s="2" t="s">
        <v>4</v>
      </c>
      <c r="B2" s="2" t="s">
        <v>5</v>
      </c>
      <c r="C2" s="1" t="s">
        <v>6</v>
      </c>
      <c r="D2" s="2" t="s">
        <v>7</v>
      </c>
    </row>
    <row r="3" customFormat="false" ht="16.5" hidden="false" customHeight="true" outlineLevel="0" collapsed="false">
      <c r="A3" s="2" t="s">
        <v>8</v>
      </c>
      <c r="B3" s="2" t="s">
        <v>9</v>
      </c>
      <c r="C3" s="2" t="s">
        <v>10</v>
      </c>
      <c r="D3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12</v>
      </c>
      <c r="B1" s="1" t="s">
        <v>13</v>
      </c>
      <c r="C1" s="1" t="s">
        <v>14</v>
      </c>
      <c r="D1" s="1" t="s">
        <v>15</v>
      </c>
    </row>
    <row r="2" customFormat="false" ht="15" hidden="false" customHeight="true" outlineLevel="0" collapsed="false">
      <c r="A2" s="1" t="s">
        <v>16</v>
      </c>
      <c r="B2" s="2" t="s">
        <v>17</v>
      </c>
      <c r="C2" s="2" t="s">
        <v>18</v>
      </c>
    </row>
    <row r="3" customFormat="false" ht="16.5" hidden="false" customHeight="true" outlineLevel="0" collapsed="false">
      <c r="A3" s="1" t="s">
        <v>19</v>
      </c>
      <c r="B3" s="2" t="s">
        <v>20</v>
      </c>
      <c r="C3" s="2" t="s">
        <v>21</v>
      </c>
      <c r="D3" s="2" t="s">
        <v>22</v>
      </c>
    </row>
    <row r="4" customFormat="false" ht="15" hidden="false" customHeight="true" outlineLevel="0" collapsed="false">
      <c r="A4" s="1" t="s">
        <v>23</v>
      </c>
      <c r="B4" s="2" t="s">
        <v>24</v>
      </c>
      <c r="C4" s="2" t="s">
        <v>25</v>
      </c>
    </row>
    <row r="5" customFormat="false" ht="15" hidden="false" customHeight="true" outlineLevel="0" collapsed="false">
      <c r="A5" s="2" t="s">
        <v>26</v>
      </c>
      <c r="B5" s="2" t="n">
        <v>5000</v>
      </c>
      <c r="C5" s="2" t="s">
        <v>27</v>
      </c>
      <c r="D5" s="2" t="s">
        <v>28</v>
      </c>
    </row>
    <row r="6" customFormat="false" ht="15" hidden="false" customHeight="true" outlineLevel="0" collapsed="false">
      <c r="A6" s="1" t="s">
        <v>29</v>
      </c>
      <c r="B6" s="2" t="s">
        <v>30</v>
      </c>
      <c r="C6" s="2" t="s">
        <v>31</v>
      </c>
    </row>
    <row r="7" customFormat="false" ht="16.5" hidden="false" customHeight="true" outlineLevel="0" collapsed="false">
      <c r="A7" s="1" t="s">
        <v>32</v>
      </c>
      <c r="B7" s="2" t="s">
        <v>33</v>
      </c>
      <c r="C7" s="2" t="s">
        <v>21</v>
      </c>
      <c r="D7" s="2" t="s">
        <v>22</v>
      </c>
    </row>
    <row r="8" customFormat="false" ht="15" hidden="false" customHeight="true" outlineLevel="0" collapsed="false">
      <c r="A8" s="1" t="s">
        <v>34</v>
      </c>
      <c r="C8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2" t="s">
        <v>36</v>
      </c>
      <c r="B1" s="1" t="s">
        <v>37</v>
      </c>
      <c r="C1" s="1" t="s">
        <v>38</v>
      </c>
    </row>
    <row r="2" customFormat="false" ht="15" hidden="false" customHeight="true" outlineLevel="0" collapsed="false">
      <c r="A2" s="2" t="n">
        <v>1</v>
      </c>
      <c r="B2" s="1" t="s">
        <v>39</v>
      </c>
      <c r="C2" s="2" t="str">
        <f aca="false">"set system host-name "&amp;パラメータ!B2</f>
        <v>set system host-name GTE-01</v>
      </c>
    </row>
    <row r="3" customFormat="false" ht="16.5" hidden="false" customHeight="true" outlineLevel="0" collapsed="false">
      <c r="A3" s="2" t="n">
        <v>2</v>
      </c>
      <c r="B3" s="2" t="s">
        <v>40</v>
      </c>
      <c r="C3" s="2" t="str">
        <f aca="false">"set interfaces "&amp;パラメータ!B6&amp;" unit 0 family ethernet-switching vlan members "&amp;パラメータ!B5</f>
        <v>set interfaces ge-0/0/3 unit 0 family ethernet-switching vlan members 5000</v>
      </c>
    </row>
    <row r="4" customFormat="false" ht="17.15" hidden="false" customHeight="false" outlineLevel="0" collapsed="false">
      <c r="A4" s="0" t="n">
        <v>3</v>
      </c>
      <c r="B4" s="0" t="s">
        <v>41</v>
      </c>
      <c r="C4" s="0" t="str">
        <f aca="false">"set vlans v"&amp;パラメータ!A5</f>
        <v>set vlans vVLAN-ID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2" t="s">
        <v>36</v>
      </c>
      <c r="B1" s="1" t="s">
        <v>37</v>
      </c>
      <c r="C1" s="1" t="s">
        <v>38</v>
      </c>
    </row>
    <row r="2" customFormat="false" ht="15" hidden="false" customHeight="true" outlineLevel="0" collapsed="false">
      <c r="A2" s="2" t="n">
        <v>1</v>
      </c>
      <c r="B2" s="1" t="s">
        <v>42</v>
      </c>
      <c r="C2" s="2" t="str">
        <f aca="false">"set interfaces "&amp;パラメータ!B6&amp;" description "&amp;パラメータ!B8</f>
        <v>set interfaces ge-0/0/3 description </v>
      </c>
    </row>
    <row r="3" customFormat="false" ht="16.5" hidden="false" customHeight="true" outlineLevel="0" collapsed="false">
      <c r="A3" s="2" t="n">
        <v>2</v>
      </c>
      <c r="B3" s="1" t="s">
        <v>43</v>
      </c>
      <c r="C3" s="2" t="str">
        <f aca="false">"# 確認: "&amp;STEP1!C2</f>
        <v># 確認: set system host-name GTE-01</v>
      </c>
    </row>
    <row r="4" customFormat="false" ht="15" hidden="false" customHeight="true" outlineLevel="0" collapsed="false">
      <c r="A4" s="2" t="n">
        <v>3</v>
      </c>
      <c r="B4" s="1" t="s">
        <v>44</v>
      </c>
      <c r="C4" s="2" t="e">
        <f aca="false">"delete interfaces "&amp;#REF!</f>
        <v>#REF!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2026-05-31T09:08:23Z</dcterms:created>
  <dc:creator>openpyxl</dc:creator>
  <dc:description/>
  <dc:language>en-US</dc:language>
  <cp:lastModifiedBy/>
  <dcterms:modified xsi:type="dcterms:W3CDTF">2026-05-31T09:40:49Z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
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版履歴" sheetId="1" state="visible" r:id="rId1"/>
    <sheet name="インプット情報" sheetId="2" state="visible" r:id="rId2"/>
    <sheet name="パラメータ" sheetId="3" state="visible" r:id="rId3"/>
    <sheet name="CORE-01_設定" sheetId="4" state="visible" r:id="rId4"/>
    <sheet name="EDGE-02_設定" sheetId="5" state="visible" r:id="rId5"/>
    <sheet name="確認" sheetId="6" state="visible" r:id="rId6"/>
    <sheet name="切り戻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版数</t>
        </is>
      </c>
      <c r="B1" t="inlineStr">
        <is>
          <t>日付</t>
        </is>
      </c>
      <c r="C1" t="inlineStr">
        <is>
          <t>変更内容</t>
        </is>
      </c>
      <c r="D1" t="inlineStr">
        <is>
          <t>担当</t>
        </is>
      </c>
    </row>
    <row r="2">
      <c r="A2" t="inlineStr">
        <is>
          <t>v1.0</t>
        </is>
      </c>
      <c r="B2" t="inlineStr">
        <is>
          <t>2026-05-10</t>
        </is>
      </c>
      <c r="C2" t="inlineStr">
        <is>
          <t>初版</t>
        </is>
      </c>
      <c r="D2" t="inlineStr">
        <is>
          <t>A</t>
        </is>
      </c>
    </row>
    <row r="3">
      <c r="A3" t="inlineStr">
        <is>
          <t>v1.1</t>
        </is>
      </c>
      <c r="B3" t="inlineStr">
        <is>
          <t>2026-05-29</t>
        </is>
      </c>
      <c r="C3" t="inlineStr">
        <is>
          <t>CORE-EDGE間 区間A eBGP・static新設</t>
        </is>
      </c>
      <c r="D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物理経路(新設区間)</t>
        </is>
      </c>
      <c r="B2" t="inlineStr">
        <is>
          <t>CORE-01 ge-0/0/2 ─ FDF #12 ─ TIE T-07 ─ FDF #34 ─ EDGE-02 ge-0/0/2</t>
        </is>
      </c>
    </row>
    <row r="3">
      <c r="A3" t="inlineStr">
        <is>
          <t>既存IF</t>
        </is>
      </c>
      <c r="B3" t="inlineStr">
        <is>
          <t>CORE-01 ge-0/0/0 (description: uplink-A) 203.0.113.1/30</t>
        </is>
      </c>
    </row>
    <row r="4">
      <c r="A4" t="inlineStr">
        <is>
          <t>既存IF</t>
        </is>
      </c>
      <c r="B4" t="inlineStr">
        <is>
          <t>EDGE-02 ge-0/0/0 (description: uplink-B) 203.0.113.5/30</t>
        </is>
      </c>
    </row>
    <row r="5">
      <c r="A5" t="inlineStr">
        <is>
          <t>備考</t>
        </is>
      </c>
      <c r="B5" t="inlineStr">
        <is>
          <t>FDF=光配線盤・TIE=局間タイ回線（いずれも既設）。今回 ge-0/0/2・BGP・static を新規追加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機器</t>
        </is>
      </c>
      <c r="B1" t="inlineStr">
        <is>
          <t>パラメータ名</t>
        </is>
      </c>
      <c r="C1" t="inlineStr">
        <is>
          <t>値</t>
        </is>
      </c>
      <c r="D1" t="inlineStr">
        <is>
          <t>型</t>
        </is>
      </c>
      <c r="E1" t="inlineStr">
        <is>
          <t>許容範囲</t>
        </is>
      </c>
    </row>
    <row r="2">
      <c r="A2" t="inlineStr">
        <is>
          <t>CORE-01</t>
        </is>
      </c>
      <c r="B2" t="inlineStr">
        <is>
          <t>IF名</t>
        </is>
      </c>
      <c r="C2" t="inlineStr">
        <is>
          <t>ge-0/0/2</t>
        </is>
      </c>
      <c r="D2" t="inlineStr">
        <is>
          <t>interface</t>
        </is>
      </c>
      <c r="E2" t="inlineStr"/>
    </row>
    <row r="3">
      <c r="A3" t="inlineStr">
        <is>
          <t>CORE-01</t>
        </is>
      </c>
      <c r="B3" t="inlineStr">
        <is>
          <t>自IP</t>
        </is>
      </c>
      <c r="C3" t="inlineStr">
        <is>
          <t>10.0.0.1</t>
        </is>
      </c>
      <c r="D3" t="inlineStr">
        <is>
          <t>ip</t>
        </is>
      </c>
      <c r="E3" t="inlineStr"/>
    </row>
    <row r="4">
      <c r="A4" t="inlineStr">
        <is>
          <t>CORE-01</t>
        </is>
      </c>
      <c r="B4" t="inlineStr">
        <is>
          <t>マスク</t>
        </is>
      </c>
      <c r="C4" t="n">
        <v>30</v>
      </c>
      <c r="D4" t="inlineStr">
        <is>
          <t>mask</t>
        </is>
      </c>
      <c r="E4" t="inlineStr"/>
    </row>
    <row r="5">
      <c r="A5" t="inlineStr">
        <is>
          <t>CORE-01</t>
        </is>
      </c>
      <c r="B5" t="inlineStr">
        <is>
          <t>対向IP</t>
        </is>
      </c>
      <c r="C5" t="inlineStr">
        <is>
          <t>10.0.0.2</t>
        </is>
      </c>
      <c r="D5" t="inlineStr">
        <is>
          <t>ip</t>
        </is>
      </c>
      <c r="E5" t="inlineStr"/>
    </row>
    <row r="6">
      <c r="A6" t="inlineStr">
        <is>
          <t>CORE-01</t>
        </is>
      </c>
      <c r="B6" t="inlineStr">
        <is>
          <t>自AS</t>
        </is>
      </c>
      <c r="C6" t="n">
        <v>65000</v>
      </c>
      <c r="D6" t="inlineStr">
        <is>
          <t>int</t>
        </is>
      </c>
      <c r="E6" t="inlineStr"/>
    </row>
    <row r="7">
      <c r="A7" t="inlineStr">
        <is>
          <t>CORE-01</t>
        </is>
      </c>
      <c r="B7" t="inlineStr">
        <is>
          <t>対向AS</t>
        </is>
      </c>
      <c r="C7" t="n">
        <v>65001</v>
      </c>
      <c r="D7" t="inlineStr">
        <is>
          <t>int</t>
        </is>
      </c>
      <c r="E7" t="inlineStr"/>
    </row>
    <row r="8">
      <c r="A8" t="inlineStr">
        <is>
          <t>CORE-01</t>
        </is>
      </c>
      <c r="B8" t="inlineStr">
        <is>
          <t>staticプレフィクス</t>
        </is>
      </c>
      <c r="C8" t="inlineStr">
        <is>
          <t>172.16.0.0/16</t>
        </is>
      </c>
      <c r="D8" t="inlineStr">
        <is>
          <t>cidr</t>
        </is>
      </c>
      <c r="E8" t="inlineStr"/>
    </row>
    <row r="9">
      <c r="A9" t="inlineStr">
        <is>
          <t>CORE-01</t>
        </is>
      </c>
      <c r="B9" t="inlineStr">
        <is>
          <t>staticネクストホップ</t>
        </is>
      </c>
      <c r="C9" t="inlineStr">
        <is>
          <t>10.0.0.2</t>
        </is>
      </c>
      <c r="D9" t="inlineStr">
        <is>
          <t>ip</t>
        </is>
      </c>
      <c r="E9" t="inlineStr"/>
    </row>
    <row r="10">
      <c r="A10" t="inlineStr">
        <is>
          <t>EDGE-02</t>
        </is>
      </c>
      <c r="B10" t="inlineStr">
        <is>
          <t>IF名</t>
        </is>
      </c>
      <c r="C10" t="inlineStr">
        <is>
          <t>ge-0/0/2</t>
        </is>
      </c>
      <c r="D10" t="inlineStr">
        <is>
          <t>interface</t>
        </is>
      </c>
      <c r="E10" t="inlineStr"/>
    </row>
    <row r="11">
      <c r="A11" t="inlineStr">
        <is>
          <t>EDGE-02</t>
        </is>
      </c>
      <c r="B11" t="inlineStr">
        <is>
          <t>自IP</t>
        </is>
      </c>
      <c r="C11" t="inlineStr">
        <is>
          <t>10.0.0.2</t>
        </is>
      </c>
      <c r="D11" t="inlineStr">
        <is>
          <t>ip</t>
        </is>
      </c>
      <c r="E11" t="inlineStr"/>
    </row>
    <row r="12">
      <c r="A12" t="inlineStr">
        <is>
          <t>EDGE-02</t>
        </is>
      </c>
      <c r="B12" t="inlineStr">
        <is>
          <t>マスク</t>
        </is>
      </c>
      <c r="C12" t="n">
        <v>30</v>
      </c>
      <c r="D12" t="inlineStr">
        <is>
          <t>mask</t>
        </is>
      </c>
      <c r="E12" t="inlineStr"/>
    </row>
    <row r="13">
      <c r="A13" t="inlineStr">
        <is>
          <t>EDGE-02</t>
        </is>
      </c>
      <c r="B13" t="inlineStr">
        <is>
          <t>対向IP</t>
        </is>
      </c>
      <c r="C13" t="inlineStr">
        <is>
          <t>10.0.0.1</t>
        </is>
      </c>
      <c r="D13" t="inlineStr">
        <is>
          <t>ip</t>
        </is>
      </c>
      <c r="E13" t="inlineStr"/>
    </row>
    <row r="14">
      <c r="A14" t="inlineStr">
        <is>
          <t>EDGE-02</t>
        </is>
      </c>
      <c r="B14" t="inlineStr">
        <is>
          <t>自AS</t>
        </is>
      </c>
      <c r="C14" t="n">
        <v>65001</v>
      </c>
      <c r="D14" t="inlineStr">
        <is>
          <t>int</t>
        </is>
      </c>
      <c r="E14" t="inlineStr"/>
    </row>
    <row r="15">
      <c r="A15" t="inlineStr">
        <is>
          <t>EDGE-02</t>
        </is>
      </c>
      <c r="B15" t="inlineStr">
        <is>
          <t>対向AS</t>
        </is>
      </c>
      <c r="C15" t="n">
        <v>65000</v>
      </c>
      <c r="D15" t="inlineStr">
        <is>
          <t>int</t>
        </is>
      </c>
      <c r="E15" t="inlineStr"/>
    </row>
    <row r="16">
      <c r="A16" t="inlineStr">
        <is>
          <t>EDGE-02</t>
        </is>
      </c>
      <c r="B16" t="inlineStr">
        <is>
          <t>staticプレフィクス</t>
        </is>
      </c>
      <c r="C16" t="inlineStr">
        <is>
          <t>172.16.0.0/16</t>
        </is>
      </c>
      <c r="D16" t="inlineStr">
        <is>
          <t>cidr</t>
        </is>
      </c>
      <c r="E16" t="inlineStr"/>
    </row>
    <row r="17">
      <c r="A17" t="inlineStr">
        <is>
          <t>EDGE-02</t>
        </is>
      </c>
      <c r="B17" t="inlineStr">
        <is>
          <t>staticネクストホップ</t>
        </is>
      </c>
      <c r="C17" t="inlineStr">
        <is>
          <t>10.0.0.1</t>
        </is>
      </c>
      <c r="D17" t="inlineStr">
        <is>
          <t>ip</t>
        </is>
      </c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IF description</t>
        </is>
      </c>
      <c r="C2" t="str">
        <f>"set interfaces "&amp;パラメータ!C2&amp;" description ""to EDGE-02 via FDF#12/TIE07/FDF#34"""</f>
        <v>set interfaces ge-0/0/2 description "to EDGE-02 via FDF#12/TIE07/FDF#34"</v>
      </c>
    </row>
    <row r="3">
      <c r="A3" t="n">
        <v>2</v>
      </c>
      <c r="B3" t="inlineStr">
        <is>
          <t>L3アドレス</t>
        </is>
      </c>
      <c r="C3" t="str">
        <f>"set interfaces "&amp;パラメータ!C2&amp;" unit 0 family inet address "&amp;パラメータ!C3&amp;"/"&amp;パラメータ!C4</f>
        <v>set interfaces ge-0/0/2 unit 0 family inet address 10.0.0.1/30</v>
      </c>
    </row>
    <row r="4">
      <c r="A4" t="n">
        <v>3</v>
      </c>
      <c r="B4" t="inlineStr">
        <is>
          <t>BGP group</t>
        </is>
      </c>
      <c r="C4" t="str">
        <f>"set protocols bgp group ext type external"</f>
        <v>set protocols bgp group ext type external</v>
      </c>
    </row>
    <row r="5">
      <c r="A5" t="n">
        <v>4</v>
      </c>
      <c r="B5" t="inlineStr">
        <is>
          <t>BGP neighbor</t>
        </is>
      </c>
      <c r="C5" t="str">
        <f>"set protocols bgp group ext neighbor "&amp;パラメータ!C5&amp;" peer-as "&amp;パラメータ!C7</f>
        <v>set protocols bgp group ext neighbor 10.0.0.2 peer-as 65001</v>
      </c>
    </row>
    <row r="6">
      <c r="A6" t="n">
        <v>5</v>
      </c>
      <c r="B6" t="inlineStr">
        <is>
          <t>自AS</t>
        </is>
      </c>
      <c r="C6" t="str">
        <f>"set routing-options autonomous-system "&amp;パラメータ!C6</f>
        <v>set routing-options autonomous-system 65000</v>
      </c>
    </row>
    <row r="7">
      <c r="A7" t="n">
        <v>6</v>
      </c>
      <c r="B7" t="inlineStr">
        <is>
          <t>static route</t>
        </is>
      </c>
      <c r="C7" t="str">
        <f>"set routing-options static route "&amp;パラメータ!C8&amp;" next-hop "&amp;パラメータ!C9</f>
        <v>set routing-options static route 172.16.0.0/16 next-hop 10.0.0.2</v>
      </c>
    </row>
    <row r="8">
      <c r="A8" t="n">
        <v>7</v>
      </c>
      <c r="B8" t="inlineStr">
        <is>
          <t>保存</t>
        </is>
      </c>
      <c r="C8" t="str">
        <f>"commit"</f>
        <v>commit</v>
      </c>
    </row>
    <row r="9">
      <c r="A9" t="n">
        <v>8</v>
      </c>
      <c r="B9" t="inlineStr">
        <is>
          <t>接続</t>
        </is>
      </c>
      <c r="C9" t="inlineStr">
        <is>
          <t>Telnetで CORE-01 にログインして上記を投入する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IF description</t>
        </is>
      </c>
      <c r="C2" t="str">
        <f>"set interfaces "&amp;パラメータ!C10&amp;" description ""to CORE-01 via FDF#12/TIE07/FDF#34"""</f>
        <v>set interfaces ge-0/0/2 description "to CORE-01 via FDF#12/TIE07/FDF#34"</v>
      </c>
    </row>
    <row r="3">
      <c r="A3" t="n">
        <v>2</v>
      </c>
      <c r="B3" t="inlineStr">
        <is>
          <t>L3アドレス</t>
        </is>
      </c>
      <c r="C3" t="str">
        <f>"set interfaces "&amp;パラメータ!C10&amp;" unit 0 family inet address "&amp;パラメータ!C11&amp;"/"&amp;パラメータ!C12</f>
        <v>set interfaces ge-0/0/2 unit 0 family inet address 10.0.0.2/30</v>
      </c>
    </row>
    <row r="4">
      <c r="A4" t="n">
        <v>3</v>
      </c>
      <c r="B4" t="inlineStr">
        <is>
          <t>BGP group</t>
        </is>
      </c>
      <c r="C4" t="str">
        <f>"set protocols bgp group ext type external"</f>
        <v>set protocols bgp group ext type external</v>
      </c>
    </row>
    <row r="5">
      <c r="A5" t="n">
        <v>4</v>
      </c>
      <c r="B5" t="inlineStr">
        <is>
          <t>BGP neighbor</t>
        </is>
      </c>
      <c r="C5" t="str">
        <f>"set protocols bgp group ext neighbor "&amp;パラメータ!C13&amp;" peer-as "&amp;パラメータ!C15</f>
        <v>set protocols bgp group ext neighbor 10.0.0.1 peer-as 65000</v>
      </c>
    </row>
    <row r="6">
      <c r="A6" t="n">
        <v>5</v>
      </c>
      <c r="B6" t="inlineStr">
        <is>
          <t>自AS</t>
        </is>
      </c>
      <c r="C6" t="str">
        <f>"set routing-options autonomous-system "&amp;パラメータ!C14</f>
        <v>set routing-options autonomous-system 65001</v>
      </c>
    </row>
    <row r="7">
      <c r="A7" t="n">
        <v>6</v>
      </c>
      <c r="B7" t="inlineStr">
        <is>
          <t>static route</t>
        </is>
      </c>
      <c r="C7" t="str">
        <f>"set routing-options static route "&amp;パラメータ!C16&amp;" next-hop "&amp;パラメータ!C17</f>
        <v>set routing-options static route 172.16.0.0/16 next-hop 10.0.0.1</v>
      </c>
    </row>
    <row r="8">
      <c r="A8" t="n">
        <v>7</v>
      </c>
      <c r="B8" t="inlineStr">
        <is>
          <t>保存</t>
        </is>
      </c>
      <c r="C8" t="str">
        <f>"commit"</f>
        <v>commit</v>
      </c>
    </row>
    <row r="9">
      <c r="A9" t="n">
        <v>8</v>
      </c>
      <c r="B9" t="inlineStr">
        <is>
          <t>接続</t>
        </is>
      </c>
      <c r="C9" t="inlineStr">
        <is>
          <t>Telnetで EDGE-02 にログインして上記を投入する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種別</t>
        </is>
      </c>
      <c r="C1" t="inlineStr">
        <is>
          <t>確認内容</t>
        </is>
      </c>
      <c r="D1" t="inlineStr">
        <is>
          <t>期待値</t>
        </is>
      </c>
    </row>
    <row r="2">
      <c r="A2" t="n">
        <v>1</v>
      </c>
      <c r="B2" t="inlineStr">
        <is>
          <t>作業前</t>
        </is>
      </c>
      <c r="C2" t="inlineStr">
        <is>
          <t>show bgp summary（両機）</t>
        </is>
      </c>
      <c r="D2" t="inlineStr">
        <is>
          <t>対象 neighbor が未確立であること</t>
        </is>
      </c>
    </row>
    <row r="3">
      <c r="A3" t="n">
        <v>2</v>
      </c>
      <c r="B3" t="inlineStr">
        <is>
          <t>作業後</t>
        </is>
      </c>
      <c r="C3" t="inlineStr">
        <is>
          <t>show bgp summary（両機）</t>
        </is>
      </c>
      <c r="D3" t="inlineStr">
        <is>
          <t>10.0.0.1↔10.0.0.2 が Establ・受信経路&gt;0</t>
        </is>
      </c>
    </row>
    <row r="4">
      <c r="A4" t="n">
        <v>3</v>
      </c>
      <c r="B4" t="inlineStr">
        <is>
          <t>作業後</t>
        </is>
      </c>
      <c r="C4" t="inlineStr">
        <is>
          <t>show route 172.16.0.0/16</t>
        </is>
      </c>
      <c r="D4" t="inlineStr">
        <is>
          <t>static が有効・next-hop が対向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コマンド/内容</t>
        </is>
      </c>
    </row>
    <row r="2">
      <c r="A2" t="n">
        <v>1</v>
      </c>
      <c r="B2" t="inlineStr">
        <is>
          <t>判断基準</t>
        </is>
      </c>
      <c r="C2" t="inlineStr">
        <is>
          <t>作業後の bgp が Establ しなければ切り戻す。判断者: 当番リーダー</t>
        </is>
      </c>
    </row>
    <row r="3">
      <c r="A3" t="n">
        <v>2</v>
      </c>
      <c r="B3" t="inlineStr">
        <is>
          <t>切り戻し</t>
        </is>
      </c>
      <c r="C3" t="inlineStr">
        <is>
          <t>両機 rollback 0（未commit前提）。commit済みは下記 delete</t>
        </is>
      </c>
    </row>
    <row r="4">
      <c r="A4" t="n">
        <v>3</v>
      </c>
      <c r="B4" t="inlineStr">
        <is>
          <t>切り戻し</t>
        </is>
      </c>
      <c r="C4" t="inlineStr">
        <is>
          <t>delete protocols bgp group ext ; delete routing-options static route 172.16.0.0/16 ; delete interfaces ge-0/0/2 unit 0 family inet</t>
        </is>
      </c>
    </row>
    <row r="5">
      <c r="A5" t="n">
        <v>4</v>
      </c>
      <c r="B5" t="inlineStr">
        <is>
          <t>確認</t>
        </is>
      </c>
      <c r="C5" t="inlineStr">
        <is>
          <t>両機 show bgp summary に当該 neighbor が無いこと・既存経路に影響なし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2026-05-31T12:12:08Z</dcterms:created>
  <dcterms:modified xsi:type="dcterms:W3CDTF">2026-05-31T12:12:08Z</dcterms:modified>
</cp:coreProperties>
</file>
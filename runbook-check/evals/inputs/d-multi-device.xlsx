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版履歴" sheetId="1" state="visible" r:id="rId1"/>
    <sheet name="パラメータ" sheetId="2" state="visible" r:id="rId2"/>
    <sheet name="CORE-01_設定" sheetId="3" state="visible" r:id="rId3"/>
    <sheet name="EDGE-02_設定" sheetId="4" state="visible" r:id="rId4"/>
    <sheet name="確認" sheetId="5" state="visible" r:id="rId5"/>
    <sheet name="切り戻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版数</t>
        </is>
      </c>
      <c r="B1" t="inlineStr">
        <is>
          <t>日付</t>
        </is>
      </c>
      <c r="C1" t="inlineStr">
        <is>
          <t>変更内容</t>
        </is>
      </c>
      <c r="D1" t="inlineStr">
        <is>
          <t>担当</t>
        </is>
      </c>
    </row>
    <row r="2">
      <c r="A2" t="inlineStr">
        <is>
          <t>v1.0</t>
        </is>
      </c>
      <c r="B2" t="inlineStr">
        <is>
          <t>2026-05-01</t>
        </is>
      </c>
      <c r="C2" t="inlineStr">
        <is>
          <t>初版</t>
        </is>
      </c>
      <c r="D2" t="inlineStr">
        <is>
          <t>A</t>
        </is>
      </c>
    </row>
    <row r="3">
      <c r="A3" t="inlineStr">
        <is>
          <t>v1.1</t>
        </is>
      </c>
      <c r="B3" t="inlineStr">
        <is>
          <t>2026-05-28</t>
        </is>
      </c>
      <c r="C3" t="inlineStr">
        <is>
          <t>CORE-EDGE間 eBGP 新設</t>
        </is>
      </c>
      <c r="D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機器</t>
        </is>
      </c>
      <c r="B1" t="inlineStr">
        <is>
          <t>パラメータ名</t>
        </is>
      </c>
      <c r="C1" t="inlineStr">
        <is>
          <t>値</t>
        </is>
      </c>
      <c r="D1" t="inlineStr">
        <is>
          <t>型</t>
        </is>
      </c>
      <c r="E1" t="inlineStr">
        <is>
          <t>許容範囲</t>
        </is>
      </c>
    </row>
    <row r="2">
      <c r="A2" t="inlineStr">
        <is>
          <t>CORE-01</t>
        </is>
      </c>
      <c r="B2" t="inlineStr">
        <is>
          <t>IF名</t>
        </is>
      </c>
      <c r="C2" t="inlineStr">
        <is>
          <t>ge-0/0/1</t>
        </is>
      </c>
      <c r="D2" t="inlineStr">
        <is>
          <t>interface</t>
        </is>
      </c>
      <c r="E2" t="inlineStr"/>
    </row>
    <row r="3">
      <c r="A3" t="inlineStr">
        <is>
          <t>CORE-01</t>
        </is>
      </c>
      <c r="B3" t="inlineStr">
        <is>
          <t>VLAN-ID</t>
        </is>
      </c>
      <c r="C3" t="n">
        <v>100</v>
      </c>
      <c r="D3" t="inlineStr">
        <is>
          <t>vlan</t>
        </is>
      </c>
      <c r="E3" t="inlineStr">
        <is>
          <t>1-4094</t>
        </is>
      </c>
    </row>
    <row r="4">
      <c r="A4" t="inlineStr">
        <is>
          <t>CORE-01</t>
        </is>
      </c>
      <c r="B4" t="inlineStr">
        <is>
          <t>IRB-IP</t>
        </is>
      </c>
      <c r="C4" t="inlineStr">
        <is>
          <t>10.0.0.1</t>
        </is>
      </c>
      <c r="D4" t="inlineStr">
        <is>
          <t>ip</t>
        </is>
      </c>
      <c r="E4" t="inlineStr"/>
    </row>
    <row r="5">
      <c r="A5" t="inlineStr">
        <is>
          <t>CORE-01</t>
        </is>
      </c>
      <c r="B5" t="inlineStr">
        <is>
          <t>マスク</t>
        </is>
      </c>
      <c r="C5" t="n">
        <v>30</v>
      </c>
      <c r="D5" t="inlineStr">
        <is>
          <t>mask</t>
        </is>
      </c>
      <c r="E5" t="inlineStr"/>
    </row>
    <row r="6">
      <c r="A6" t="inlineStr">
        <is>
          <t>CORE-01</t>
        </is>
      </c>
      <c r="B6" t="inlineStr">
        <is>
          <t>対向IP</t>
        </is>
      </c>
      <c r="C6" t="inlineStr">
        <is>
          <t>10.0.0.2</t>
        </is>
      </c>
      <c r="D6" t="inlineStr">
        <is>
          <t>ip</t>
        </is>
      </c>
      <c r="E6" t="inlineStr"/>
    </row>
    <row r="7">
      <c r="A7" t="inlineStr">
        <is>
          <t>CORE-01</t>
        </is>
      </c>
      <c r="B7" t="inlineStr">
        <is>
          <t>自AS</t>
        </is>
      </c>
      <c r="C7" t="n">
        <v>65000</v>
      </c>
      <c r="D7" t="inlineStr">
        <is>
          <t>int</t>
        </is>
      </c>
      <c r="E7" t="inlineStr"/>
    </row>
    <row r="8">
      <c r="A8" t="inlineStr">
        <is>
          <t>CORE-01</t>
        </is>
      </c>
      <c r="B8" t="inlineStr">
        <is>
          <t>対向AS</t>
        </is>
      </c>
      <c r="C8" t="n">
        <v>65001</v>
      </c>
      <c r="D8" t="inlineStr">
        <is>
          <t>int</t>
        </is>
      </c>
      <c r="E8" t="inlineStr"/>
    </row>
    <row r="9">
      <c r="A9" t="inlineStr">
        <is>
          <t>EDGE-02</t>
        </is>
      </c>
      <c r="B9" t="inlineStr">
        <is>
          <t>IF名</t>
        </is>
      </c>
      <c r="C9" t="inlineStr">
        <is>
          <t>ge-0/0/1</t>
        </is>
      </c>
      <c r="D9" t="inlineStr">
        <is>
          <t>interface</t>
        </is>
      </c>
      <c r="E9" t="inlineStr"/>
    </row>
    <row r="10">
      <c r="A10" t="inlineStr">
        <is>
          <t>EDGE-02</t>
        </is>
      </c>
      <c r="B10" t="inlineStr">
        <is>
          <t>VLAN-ID</t>
        </is>
      </c>
      <c r="C10" t="n">
        <v>100</v>
      </c>
      <c r="D10" t="inlineStr">
        <is>
          <t>vlan</t>
        </is>
      </c>
      <c r="E10" t="inlineStr">
        <is>
          <t>1-4094</t>
        </is>
      </c>
    </row>
    <row r="11">
      <c r="A11" t="inlineStr">
        <is>
          <t>EDGE-02</t>
        </is>
      </c>
      <c r="B11" t="inlineStr">
        <is>
          <t>IRB-IP</t>
        </is>
      </c>
      <c r="C11" t="inlineStr">
        <is>
          <t>10.0.0.2</t>
        </is>
      </c>
      <c r="D11" t="inlineStr">
        <is>
          <t>ip</t>
        </is>
      </c>
      <c r="E11" t="inlineStr"/>
    </row>
    <row r="12">
      <c r="A12" t="inlineStr">
        <is>
          <t>EDGE-02</t>
        </is>
      </c>
      <c r="B12" t="inlineStr">
        <is>
          <t>マスク</t>
        </is>
      </c>
      <c r="C12" t="n">
        <v>30</v>
      </c>
      <c r="D12" t="inlineStr">
        <is>
          <t>mask</t>
        </is>
      </c>
      <c r="E12" t="inlineStr"/>
    </row>
    <row r="13">
      <c r="A13" t="inlineStr">
        <is>
          <t>EDGE-02</t>
        </is>
      </c>
      <c r="B13" t="inlineStr">
        <is>
          <t>対向IP</t>
        </is>
      </c>
      <c r="C13" t="inlineStr">
        <is>
          <t>10.0.0.1</t>
        </is>
      </c>
      <c r="D13" t="inlineStr">
        <is>
          <t>ip</t>
        </is>
      </c>
      <c r="E13" t="inlineStr"/>
    </row>
    <row r="14">
      <c r="A14" t="inlineStr">
        <is>
          <t>EDGE-02</t>
        </is>
      </c>
      <c r="B14" t="inlineStr">
        <is>
          <t>自AS</t>
        </is>
      </c>
      <c r="C14" t="n">
        <v>65001</v>
      </c>
      <c r="D14" t="inlineStr">
        <is>
          <t>int</t>
        </is>
      </c>
      <c r="E14" t="inlineStr"/>
    </row>
    <row r="15">
      <c r="A15" t="inlineStr">
        <is>
          <t>EDGE-02</t>
        </is>
      </c>
      <c r="B15" t="inlineStr">
        <is>
          <t>対向AS</t>
        </is>
      </c>
      <c r="C15" t="n">
        <v>65000</v>
      </c>
      <c r="D15" t="inlineStr">
        <is>
          <t>int</t>
        </is>
      </c>
      <c r="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IF description</t>
        </is>
      </c>
      <c r="C2" t="str">
        <f>"set interfaces "&amp;パラメータ!C2&amp;" description ""to EDGE-02 AS65001"""</f>
        <v>set interfaces ge-0/0/1 description "to EDGE-02 AS65001"</v>
      </c>
    </row>
    <row r="3">
      <c r="A3" t="n">
        <v>2</v>
      </c>
      <c r="B3" t="inlineStr">
        <is>
          <t>VLAN作成</t>
        </is>
      </c>
      <c r="C3" t="str">
        <f>"set vlans v"&amp;パラメータ!C3&amp;" vlan-id "&amp;パラメータ!C3</f>
        <v>set vlans v100 vlan-id 100</v>
      </c>
    </row>
    <row r="4">
      <c r="A4" t="n">
        <v>3</v>
      </c>
      <c r="B4" t="inlineStr">
        <is>
          <t>VLANにIRB割当</t>
        </is>
      </c>
      <c r="C4" t="str">
        <f>"set vlans v"&amp;パラメータ!C3&amp;" l3-interface irb."&amp;パラメータ!C3</f>
        <v>set vlans v100 l3-interface irb.100</v>
      </c>
    </row>
    <row r="5">
      <c r="A5" t="n">
        <v>4</v>
      </c>
      <c r="B5" t="inlineStr">
        <is>
          <t>ポート収容</t>
        </is>
      </c>
      <c r="C5" t="str">
        <f>"set interfaces "&amp;パラメータ!C2&amp;" unit 0 family ethernet-switching interface-mode access vlan members v"&amp;パラメータ!C3</f>
        <v>set interfaces ge-0/0/1 unit 0 family ethernet-switching interface-mode access vlan members v100</v>
      </c>
    </row>
    <row r="6">
      <c r="A6" t="n">
        <v>5</v>
      </c>
      <c r="B6" t="inlineStr">
        <is>
          <t>IRBにL3アドレス</t>
        </is>
      </c>
      <c r="C6" t="str">
        <f>"set interfaces irb unit "&amp;パラメータ!C3&amp;" family inet address "&amp;パラメータ!C4&amp;"/"&amp;パラメータ!C5</f>
        <v>set interfaces irb unit 100 family inet address 10.0.0.1/30</v>
      </c>
    </row>
    <row r="7">
      <c r="A7" t="n">
        <v>6</v>
      </c>
      <c r="B7" t="inlineStr">
        <is>
          <t>eBGP neighbor</t>
        </is>
      </c>
      <c r="C7" t="str">
        <f>"set protocols bgp group ext neighbor "&amp;パラメータ!C6&amp;" peer-as "&amp;パラメータ!C8</f>
        <v>set protocols bgp group ext neighbor 10.0.0.2 peer-as 65001</v>
      </c>
    </row>
    <row r="8">
      <c r="A8" t="n">
        <v>7</v>
      </c>
      <c r="B8" t="inlineStr">
        <is>
          <t>自AS設定</t>
        </is>
      </c>
      <c r="C8" t="str">
        <f>"set routing-options autonomous-system "&amp;パラメータ!C7</f>
        <v>set routing-options autonomous-system 65000</v>
      </c>
    </row>
    <row r="9">
      <c r="A9" t="n">
        <v>8</v>
      </c>
      <c r="B9" t="inlineStr">
        <is>
          <t>保存</t>
        </is>
      </c>
      <c r="C9" t="str">
        <f>"commit"</f>
        <v>commit</v>
      </c>
    </row>
    <row r="10">
      <c r="A10" t="n">
        <v>3</v>
      </c>
      <c r="B10" t="inlineStr">
        <is>
          <t>接続</t>
        </is>
      </c>
      <c r="C10" t="inlineStr">
        <is>
          <t>Telnetで CORE-01 にログインして上記を投入する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IF description</t>
        </is>
      </c>
      <c r="C2" t="str">
        <f>"set interfaces "&amp;パラメータ!C9&amp;" description ""to CORE-01 AS65000"""</f>
        <v>set interfaces ge-0/0/1 description "to CORE-01 AS65000"</v>
      </c>
    </row>
    <row r="3">
      <c r="A3" t="n">
        <v>2</v>
      </c>
      <c r="B3" t="inlineStr">
        <is>
          <t>VLAN作成</t>
        </is>
      </c>
      <c r="C3" t="str">
        <f>"set vlans v"&amp;パラメータ!C10&amp;" vlan-id "&amp;パラメータ!C10</f>
        <v>set vlans v100 vlan-id 100</v>
      </c>
    </row>
    <row r="4">
      <c r="A4" t="n">
        <v>3</v>
      </c>
      <c r="B4" t="inlineStr">
        <is>
          <t>VLANにIRB割当</t>
        </is>
      </c>
      <c r="C4" t="str">
        <f>"set vlans v"&amp;パラメータ!C10&amp;" l3-interface irb."&amp;パラメータ!C10</f>
        <v>set vlans v100 l3-interface irb.100</v>
      </c>
    </row>
    <row r="5">
      <c r="A5" t="n">
        <v>4</v>
      </c>
      <c r="B5" t="inlineStr">
        <is>
          <t>ポート収容</t>
        </is>
      </c>
      <c r="C5" t="str">
        <f>"set interfaces "&amp;パラメータ!C9&amp;" unit 0 family ethernet-switching interface-mode access vlan members v"&amp;パラメータ!C10</f>
        <v>set interfaces ge-0/0/1 unit 0 family ethernet-switching interface-mode access vlan members v100</v>
      </c>
    </row>
    <row r="6">
      <c r="A6" t="n">
        <v>5</v>
      </c>
      <c r="B6" t="inlineStr">
        <is>
          <t>IRBにL3アドレス</t>
        </is>
      </c>
      <c r="C6" t="str">
        <f>"set interfaces irb unit "&amp;パラメータ!C10&amp;" family inet address "&amp;パラメータ!C11&amp;"/"&amp;パラメータ!C12</f>
        <v>set interfaces irb unit 100 family inet address 10.0.0.2/30</v>
      </c>
    </row>
    <row r="7">
      <c r="A7" t="n">
        <v>6</v>
      </c>
      <c r="B7" t="inlineStr">
        <is>
          <t>eBGP neighbor</t>
        </is>
      </c>
      <c r="C7" t="str">
        <f>"set protocols bgp group ext neighbor "&amp;パラメータ!C13&amp;" peer-as "&amp;パラメータ!C15</f>
        <v>set protocols bgp group ext neighbor 10.0.0.1 peer-as 65000</v>
      </c>
    </row>
    <row r="8">
      <c r="A8" t="n">
        <v>7</v>
      </c>
      <c r="B8" t="inlineStr">
        <is>
          <t>自AS設定</t>
        </is>
      </c>
      <c r="C8" t="str">
        <f>"set routing-options autonomous-system "&amp;パラメータ!C14</f>
        <v>set routing-options autonomous-system 65001</v>
      </c>
    </row>
    <row r="9">
      <c r="A9" t="n">
        <v>2</v>
      </c>
      <c r="B9" t="inlineStr">
        <is>
          <t>接続</t>
        </is>
      </c>
      <c r="C9" t="inlineStr">
        <is>
          <t>Telnetで EDGE-02 にログインして上記を投入する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種別</t>
        </is>
      </c>
      <c r="C1" t="inlineStr">
        <is>
          <t>確認内容</t>
        </is>
      </c>
      <c r="D1" t="inlineStr">
        <is>
          <t>期待値</t>
        </is>
      </c>
    </row>
    <row r="2">
      <c r="A2" t="n">
        <v>1</v>
      </c>
      <c r="B2" t="inlineStr">
        <is>
          <t>作業前</t>
        </is>
      </c>
      <c r="C2" t="inlineStr">
        <is>
          <t>show bgp summary（両機）</t>
        </is>
      </c>
      <c r="D2" t="inlineStr">
        <is>
          <t>対象 neighbor が未確立 or 未設定であること</t>
        </is>
      </c>
    </row>
    <row r="3">
      <c r="A3" t="n">
        <v>2</v>
      </c>
      <c r="B3" t="inlineStr">
        <is>
          <t>作業後</t>
        </is>
      </c>
      <c r="C3" t="inlineStr">
        <is>
          <t>show bgp summary（両機）</t>
        </is>
      </c>
      <c r="D3" t="inlineStr">
        <is>
          <t>10.0.0.1↔10.0.0.2 が Establ、受信経路数 &gt;0</t>
        </is>
      </c>
    </row>
    <row r="4">
      <c r="A4" t="n">
        <v>3</v>
      </c>
      <c r="B4" t="inlineStr">
        <is>
          <t>作業後</t>
        </is>
      </c>
      <c r="C4" t="inlineStr">
        <is>
          <t>ping 10.0.0.2 source 10.0.0.1（CORE-01から）</t>
        </is>
      </c>
      <c r="D4" t="inlineStr">
        <is>
          <t>5/5 応答・RTT 平常±1ms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コマンド/内容</t>
        </is>
      </c>
    </row>
    <row r="2">
      <c r="A2" t="n">
        <v>1</v>
      </c>
      <c r="B2" t="inlineStr">
        <is>
          <t>判断基準</t>
        </is>
      </c>
      <c r="C2" t="inlineStr">
        <is>
          <t>作業後の show bgp summary が Establ にならなければ切り戻す。判断者: 当番リーダー</t>
        </is>
      </c>
    </row>
    <row r="3">
      <c r="A3" t="n">
        <v>2</v>
      </c>
      <c r="B3" t="inlineStr">
        <is>
          <t>切り戻し</t>
        </is>
      </c>
      <c r="C3" t="inlineStr">
        <is>
          <t>両機で rollback 0（未commit前提）。commit済みは下記 delete を投入</t>
        </is>
      </c>
    </row>
    <row r="4">
      <c r="A4" t="n">
        <v>3</v>
      </c>
      <c r="B4" t="inlineStr">
        <is>
          <t>切り戻し</t>
        </is>
      </c>
      <c r="C4" t="inlineStr">
        <is>
          <t>delete protocols bgp group ext ; delete interfaces irb unit 100 ; delete vlans v100</t>
        </is>
      </c>
    </row>
    <row r="5">
      <c r="A5" t="n">
        <v>4</v>
      </c>
      <c r="B5" t="inlineStr">
        <is>
          <t>確認</t>
        </is>
      </c>
      <c r="C5" t="inlineStr">
        <is>
          <t>両機で show bgp summary に当該 neighbor が無いこと・既存経路に影響が無いこと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2026-05-31T11:32:06Z</dcterms:created>
  <dcterms:modified xsi:type="dcterms:W3CDTF">2026-05-31T11:32:06Z</dcterms:modified>
</cp:coreProperties>
</file>